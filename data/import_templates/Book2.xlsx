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ocuments\Codex\2026-05-20\Project Intelegent Hub\data\import_templates\"/>
    </mc:Choice>
  </mc:AlternateContent>
  <xr:revisionPtr revIDLastSave="0" documentId="13_ncr:1_{98D5D483-1A1B-43D3-BFB9-6DE1EA34153F}" xr6:coauthVersionLast="47" xr6:coauthVersionMax="47" xr10:uidLastSave="{00000000-0000-0000-0000-000000000000}"/>
  <bookViews>
    <workbookView xWindow="-108" yWindow="-108" windowWidth="23256" windowHeight="12576" xr2:uid="{D5F96B66-5DE8-4FC1-8226-B4334FC0E341}"/>
  </bookViews>
  <sheets>
    <sheet name="Av_vs_suppli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3" i="1" l="1"/>
  <c r="G13" i="1"/>
  <c r="G12" i="1"/>
  <c r="G11" i="1"/>
  <c r="G10" i="1"/>
  <c r="G9" i="1"/>
  <c r="G8" i="1"/>
  <c r="G7" i="1"/>
  <c r="G6" i="1"/>
  <c r="G5" i="1"/>
  <c r="G4" i="1"/>
  <c r="G3" i="1"/>
  <c r="Q2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G2" i="1"/>
</calcChain>
</file>

<file path=xl/sharedStrings.xml><?xml version="1.0" encoding="utf-8"?>
<sst xmlns="http://schemas.openxmlformats.org/spreadsheetml/2006/main" count="104" uniqueCount="72">
  <si>
    <t>Resource ID</t>
  </si>
  <si>
    <t>Activity ID</t>
  </si>
  <si>
    <t>Activity Name</t>
  </si>
  <si>
    <t>Original Duration</t>
  </si>
  <si>
    <t>Actual Duration</t>
  </si>
  <si>
    <t>Remaining Duration</t>
  </si>
  <si>
    <t>Deviated Duration</t>
  </si>
  <si>
    <t>Planned Start</t>
  </si>
  <si>
    <t>Planned Finish</t>
  </si>
  <si>
    <t>Start</t>
  </si>
  <si>
    <t>Finish</t>
  </si>
  <si>
    <t>Actual Finish</t>
  </si>
  <si>
    <t>Budgeted Units</t>
  </si>
  <si>
    <t>Actual Units</t>
  </si>
  <si>
    <t>Date of receiving units supplied by client</t>
  </si>
  <si>
    <t>Available units at site received by client</t>
  </si>
  <si>
    <t>Available units supplied by client vs Actual units of activities</t>
  </si>
  <si>
    <t>Remaining Units</t>
  </si>
  <si>
    <t>Units % Complete</t>
  </si>
  <si>
    <t>Budgeted Units / Time</t>
  </si>
  <si>
    <t>Drive Activity Dates</t>
  </si>
  <si>
    <t>Reason for Delay</t>
  </si>
  <si>
    <t>Responsibility</t>
  </si>
  <si>
    <t>BIG.Q.Rft</t>
  </si>
  <si>
    <t>CON-B03-FOOT-1050</t>
  </si>
  <si>
    <t>RFT for RC Raft &amp; Footings (B03) (footing)</t>
  </si>
  <si>
    <t>10-Jan-26 A</t>
  </si>
  <si>
    <t>Finished</t>
  </si>
  <si>
    <t>19.69/d</t>
  </si>
  <si>
    <t>Yes</t>
  </si>
  <si>
    <t>CON-B04-WT-1070</t>
  </si>
  <si>
    <t>RFT for RC Raft (B04) (Water Tank)</t>
  </si>
  <si>
    <t>9.16/d</t>
  </si>
  <si>
    <t>CON-B02-FOOT-1050</t>
  </si>
  <si>
    <t>RFT for RC Raft &amp; Footings (B02) (footing)</t>
  </si>
  <si>
    <t>17-Jan-26 A</t>
  </si>
  <si>
    <t>15.54/d</t>
  </si>
  <si>
    <t>CON-B03-FOOT-1070</t>
  </si>
  <si>
    <t>RFT for Columns &amp; Walls Below SOG (B03) (footing)</t>
  </si>
  <si>
    <t>26-Jan-26 A</t>
  </si>
  <si>
    <t>0.29/d</t>
  </si>
  <si>
    <t>CON-B02-FOOT-1070</t>
  </si>
  <si>
    <t>RFT for Columns &amp; Walls Below SOG (B02) (footing)</t>
  </si>
  <si>
    <t>28-Jan-26 A</t>
  </si>
  <si>
    <t>0.41/d</t>
  </si>
  <si>
    <t>CON-B01-FOOT-1050</t>
  </si>
  <si>
    <t>RFT for RC Raft &amp; Footings (B01) (footing)</t>
  </si>
  <si>
    <t>05-Feb-26 A</t>
  </si>
  <si>
    <t>22.89/d</t>
  </si>
  <si>
    <t>CON-B01-FOOT-1070</t>
  </si>
  <si>
    <t>RFT for Columns &amp; Walls Below SOG (B01) (footing)</t>
  </si>
  <si>
    <t>28-Feb-26 A</t>
  </si>
  <si>
    <t>0.25/d</t>
  </si>
  <si>
    <t>CON-B03-BAS02-1010</t>
  </si>
  <si>
    <t>RFT for Walls, Col. &amp; Cores (B03) (Bas 02)</t>
  </si>
  <si>
    <t>05-Mar-26 A</t>
  </si>
  <si>
    <t>2.35/d</t>
  </si>
  <si>
    <t>CON-B04-WT-1110</t>
  </si>
  <si>
    <t>RFT for Walls (B04) (Water Tank)</t>
  </si>
  <si>
    <t>08-Mar-26 A</t>
  </si>
  <si>
    <t>5.09/d</t>
  </si>
  <si>
    <t>CON-B04-FOOT-1050</t>
  </si>
  <si>
    <t>RFT for RC Raft &amp; Footings (B04) (footing)</t>
  </si>
  <si>
    <t>10-Mar-26 A</t>
  </si>
  <si>
    <t>37.06/d</t>
  </si>
  <si>
    <t>CON-B04-FOOT-1070</t>
  </si>
  <si>
    <t>RFT for Columns &amp; Walls Below SOG (B04) (footing)</t>
  </si>
  <si>
    <t>0.63/d</t>
  </si>
  <si>
    <t>CON-B02-BAS02-1010</t>
  </si>
  <si>
    <t>RFT for Walls, Col. &amp; Cores (B02) (Bas 02)</t>
  </si>
  <si>
    <t>21-Apr-26 A</t>
  </si>
  <si>
    <t>1.76/d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</si>
</sst>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EDAF-B93A-41FD-A6FB-A0DEA2FF2AEF}">
  <dimension ref="A1:AS13"/>
  <sheetViews>
    <sheetView tabSelected="1" topLeftCell="L1" workbookViewId="0">
      <selection activeCell="Q1" sqref="Q1"/>
    </sheetView>
  </sheetViews>
  <sheetFormatPr defaultRowHeight="14.4" x14ac:dyDescent="0.3"/>
  <cols>
    <col min="1" max="1" width="10.77734375" bestFit="1" customWidth="1"/>
    <col min="2" max="2" width="19.21875" bestFit="1" customWidth="1"/>
    <col min="3" max="3" width="43.44140625" bestFit="1" customWidth="1"/>
    <col min="4" max="4" width="14.88671875" bestFit="1" customWidth="1"/>
    <col min="5" max="5" width="13.77734375" bestFit="1" customWidth="1"/>
    <col min="6" max="6" width="17.21875" bestFit="1" customWidth="1"/>
    <col min="7" max="7" width="15.88671875" bestFit="1" customWidth="1"/>
    <col min="8" max="8" width="11.77734375" bestFit="1" customWidth="1"/>
    <col min="9" max="9" width="12.44140625" bestFit="1" customWidth="1"/>
    <col min="10" max="10" width="11.21875" bestFit="1" customWidth="1"/>
    <col min="11" max="11" width="11.44140625" bestFit="1" customWidth="1"/>
    <col min="12" max="12" width="11.44140625" customWidth="1"/>
    <col min="13" max="13" width="13.44140625" bestFit="1" customWidth="1"/>
    <col min="14" max="14" width="10.77734375" bestFit="1" customWidth="1"/>
    <col min="15" max="15" width="34.109375" style="1" bestFit="1" customWidth="1"/>
    <col min="16" max="16" width="33.21875" bestFit="1" customWidth="1"/>
    <col min="17" max="17" width="49.88671875" style="1" bestFit="1" customWidth="1"/>
    <col min="18" max="18" width="14.21875" bestFit="1" customWidth="1"/>
    <col min="19" max="19" width="15.5546875" bestFit="1" customWidth="1"/>
    <col min="20" max="20" width="19.21875" bestFit="1" customWidth="1"/>
    <col min="21" max="21" width="16.88671875" bestFit="1" customWidth="1"/>
    <col min="22" max="22" width="15" bestFit="1" customWidth="1"/>
    <col min="23" max="23" width="12.109375" bestFit="1" customWidth="1"/>
  </cols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3">
      <c r="A2" t="s">
        <v>23</v>
      </c>
      <c r="B2" t="s">
        <v>24</v>
      </c>
      <c r="C2" t="s">
        <v>25</v>
      </c>
      <c r="D2">
        <v>10</v>
      </c>
      <c r="E2">
        <v>10</v>
      </c>
      <c r="F2">
        <v>0</v>
      </c>
      <c r="G2">
        <f>I2-K2</f>
        <v>-8</v>
      </c>
      <c r="H2" s="2">
        <v>46023</v>
      </c>
      <c r="I2" s="2">
        <v>46035</v>
      </c>
      <c r="J2" t="s">
        <v>26</v>
      </c>
      <c r="K2" s="2">
        <v>46043</v>
      </c>
      <c r="L2" t="s">
        <v>27</v>
      </c>
      <c r="M2">
        <v>196.86</v>
      </c>
      <c r="N2">
        <v>196.86</v>
      </c>
      <c r="O2" s="2">
        <v>46000</v>
      </c>
      <c r="P2">
        <v>586.98</v>
      </c>
      <c r="Q2" s="1">
        <f>P2-N2</f>
        <v>390.12</v>
      </c>
      <c r="R2">
        <v>0</v>
      </c>
      <c r="S2" s="3">
        <v>1</v>
      </c>
      <c r="T2" t="s">
        <v>28</v>
      </c>
      <c r="U2" t="s">
        <v>29</v>
      </c>
    </row>
    <row r="3" spans="1:45" x14ac:dyDescent="0.3">
      <c r="A3" t="s">
        <v>23</v>
      </c>
      <c r="B3" t="s">
        <v>30</v>
      </c>
      <c r="C3" t="s">
        <v>31</v>
      </c>
      <c r="D3">
        <v>5</v>
      </c>
      <c r="E3">
        <v>6</v>
      </c>
      <c r="F3">
        <v>0</v>
      </c>
      <c r="G3">
        <f t="shared" ref="G3:G13" si="0">I3-K3</f>
        <v>2</v>
      </c>
      <c r="H3" s="2">
        <v>46036</v>
      </c>
      <c r="I3" s="2">
        <v>46041</v>
      </c>
      <c r="J3" t="s">
        <v>26</v>
      </c>
      <c r="K3" s="2">
        <v>46039</v>
      </c>
      <c r="L3" t="s">
        <v>27</v>
      </c>
      <c r="M3">
        <v>45.81</v>
      </c>
      <c r="N3">
        <v>45.81</v>
      </c>
      <c r="Q3" s="1">
        <f>Q2-N3</f>
        <v>344.31</v>
      </c>
      <c r="R3">
        <v>0</v>
      </c>
      <c r="S3" s="3">
        <v>1</v>
      </c>
      <c r="T3" t="s">
        <v>32</v>
      </c>
      <c r="U3" t="s">
        <v>29</v>
      </c>
    </row>
    <row r="4" spans="1:45" x14ac:dyDescent="0.3">
      <c r="A4" t="s">
        <v>23</v>
      </c>
      <c r="B4" t="s">
        <v>33</v>
      </c>
      <c r="C4" t="s">
        <v>34</v>
      </c>
      <c r="D4">
        <v>10</v>
      </c>
      <c r="E4">
        <v>4</v>
      </c>
      <c r="F4">
        <v>0</v>
      </c>
      <c r="G4">
        <f t="shared" si="0"/>
        <v>-7</v>
      </c>
      <c r="H4" s="2">
        <v>46025</v>
      </c>
      <c r="I4" s="2">
        <v>46036</v>
      </c>
      <c r="J4" t="s">
        <v>35</v>
      </c>
      <c r="K4" s="2">
        <v>46043</v>
      </c>
      <c r="L4" t="s">
        <v>27</v>
      </c>
      <c r="M4">
        <v>155.41999999999999</v>
      </c>
      <c r="N4">
        <v>155.41999999999999</v>
      </c>
      <c r="Q4" s="1">
        <f t="shared" ref="Q4:Q7" si="1">Q3-N4</f>
        <v>188.89000000000001</v>
      </c>
      <c r="R4">
        <v>0</v>
      </c>
      <c r="S4" s="3">
        <v>1</v>
      </c>
      <c r="T4" t="s">
        <v>36</v>
      </c>
      <c r="U4" t="s">
        <v>29</v>
      </c>
    </row>
    <row r="5" spans="1:45" x14ac:dyDescent="0.3">
      <c r="A5" t="s">
        <v>23</v>
      </c>
      <c r="B5" t="s">
        <v>37</v>
      </c>
      <c r="C5" t="s">
        <v>38</v>
      </c>
      <c r="D5">
        <v>5</v>
      </c>
      <c r="E5">
        <v>31</v>
      </c>
      <c r="F5">
        <v>0</v>
      </c>
      <c r="G5">
        <f t="shared" si="0"/>
        <v>-48</v>
      </c>
      <c r="H5" s="2">
        <v>46030</v>
      </c>
      <c r="I5" s="2">
        <v>46035</v>
      </c>
      <c r="J5" t="s">
        <v>39</v>
      </c>
      <c r="K5" s="2">
        <v>46083</v>
      </c>
      <c r="L5" t="s">
        <v>27</v>
      </c>
      <c r="M5">
        <v>1.46</v>
      </c>
      <c r="N5">
        <v>1.46</v>
      </c>
      <c r="Q5" s="1">
        <f t="shared" si="1"/>
        <v>187.43</v>
      </c>
      <c r="R5">
        <v>0</v>
      </c>
      <c r="S5" s="3">
        <v>1</v>
      </c>
      <c r="T5" t="s">
        <v>40</v>
      </c>
      <c r="U5" t="s">
        <v>29</v>
      </c>
    </row>
    <row r="6" spans="1:45" x14ac:dyDescent="0.3">
      <c r="A6" t="s">
        <v>23</v>
      </c>
      <c r="B6" t="s">
        <v>41</v>
      </c>
      <c r="C6" t="s">
        <v>42</v>
      </c>
      <c r="D6">
        <v>6</v>
      </c>
      <c r="E6">
        <v>30</v>
      </c>
      <c r="F6">
        <v>0</v>
      </c>
      <c r="G6">
        <f t="shared" si="0"/>
        <v>-50</v>
      </c>
      <c r="H6" s="2">
        <v>46028</v>
      </c>
      <c r="I6" s="2">
        <v>46035</v>
      </c>
      <c r="J6" t="s">
        <v>43</v>
      </c>
      <c r="K6" s="2">
        <v>46085</v>
      </c>
      <c r="L6" t="s">
        <v>27</v>
      </c>
      <c r="M6">
        <v>2.4300000000000002</v>
      </c>
      <c r="N6">
        <v>2.4300000000000002</v>
      </c>
      <c r="Q6" s="1">
        <f t="shared" si="1"/>
        <v>185</v>
      </c>
      <c r="R6">
        <v>0</v>
      </c>
      <c r="S6" s="3">
        <v>1</v>
      </c>
      <c r="T6" t="s">
        <v>44</v>
      </c>
      <c r="U6" t="s">
        <v>29</v>
      </c>
    </row>
    <row r="7" spans="1:45" x14ac:dyDescent="0.3">
      <c r="A7" t="s">
        <v>23</v>
      </c>
      <c r="B7" t="s">
        <v>45</v>
      </c>
      <c r="C7" t="s">
        <v>46</v>
      </c>
      <c r="D7">
        <v>14</v>
      </c>
      <c r="E7">
        <v>11</v>
      </c>
      <c r="F7">
        <v>0</v>
      </c>
      <c r="G7">
        <f t="shared" si="0"/>
        <v>0</v>
      </c>
      <c r="H7" s="2">
        <v>46055</v>
      </c>
      <c r="I7" s="2">
        <v>46070</v>
      </c>
      <c r="J7" t="s">
        <v>47</v>
      </c>
      <c r="K7" s="2">
        <v>46070</v>
      </c>
      <c r="L7" t="s">
        <v>27</v>
      </c>
      <c r="M7">
        <v>320.45</v>
      </c>
      <c r="N7">
        <v>320.45</v>
      </c>
      <c r="Q7" s="1">
        <f t="shared" si="1"/>
        <v>-135.44999999999999</v>
      </c>
      <c r="R7">
        <v>0</v>
      </c>
      <c r="S7" s="3">
        <v>1</v>
      </c>
      <c r="T7" t="s">
        <v>48</v>
      </c>
      <c r="U7" t="s">
        <v>29</v>
      </c>
    </row>
    <row r="8" spans="1:45" x14ac:dyDescent="0.3">
      <c r="A8" t="s">
        <v>23</v>
      </c>
      <c r="B8" t="s">
        <v>49</v>
      </c>
      <c r="C8" t="s">
        <v>50</v>
      </c>
      <c r="D8">
        <v>8</v>
      </c>
      <c r="E8">
        <v>62</v>
      </c>
      <c r="F8">
        <v>1</v>
      </c>
      <c r="G8">
        <f t="shared" si="0"/>
        <v>-93</v>
      </c>
      <c r="H8" s="2">
        <v>46058</v>
      </c>
      <c r="I8" s="2">
        <v>46067</v>
      </c>
      <c r="J8" t="s">
        <v>51</v>
      </c>
      <c r="K8" s="2">
        <v>46160</v>
      </c>
      <c r="L8" s="2"/>
      <c r="M8">
        <v>1.98</v>
      </c>
      <c r="N8">
        <v>1.68</v>
      </c>
      <c r="O8" s="2">
        <v>46067</v>
      </c>
      <c r="P8">
        <v>371.11500000000001</v>
      </c>
      <c r="Q8" s="1">
        <f>P8+Q7-N8</f>
        <v>233.98500000000001</v>
      </c>
      <c r="R8">
        <v>0.3</v>
      </c>
      <c r="S8" s="3">
        <v>0.85</v>
      </c>
      <c r="T8" t="s">
        <v>52</v>
      </c>
      <c r="U8" t="s">
        <v>29</v>
      </c>
    </row>
    <row r="9" spans="1:45" x14ac:dyDescent="0.3">
      <c r="A9" t="s">
        <v>23</v>
      </c>
      <c r="B9" t="s">
        <v>53</v>
      </c>
      <c r="C9" t="s">
        <v>54</v>
      </c>
      <c r="D9">
        <v>12</v>
      </c>
      <c r="E9">
        <v>5</v>
      </c>
      <c r="F9">
        <v>0</v>
      </c>
      <c r="G9">
        <f t="shared" si="0"/>
        <v>40</v>
      </c>
      <c r="H9" s="2">
        <v>46118</v>
      </c>
      <c r="I9" s="2">
        <v>46132</v>
      </c>
      <c r="J9" t="s">
        <v>55</v>
      </c>
      <c r="K9" s="2">
        <v>46092</v>
      </c>
      <c r="L9" t="s">
        <v>27</v>
      </c>
      <c r="M9">
        <v>28.19</v>
      </c>
      <c r="N9">
        <v>28.19</v>
      </c>
      <c r="Q9" s="1">
        <f>Q8-N9</f>
        <v>205.79500000000002</v>
      </c>
      <c r="R9">
        <v>0</v>
      </c>
      <c r="S9" s="3">
        <v>1</v>
      </c>
      <c r="T9" t="s">
        <v>56</v>
      </c>
      <c r="U9" t="s">
        <v>29</v>
      </c>
    </row>
    <row r="10" spans="1:45" x14ac:dyDescent="0.3">
      <c r="A10" t="s">
        <v>23</v>
      </c>
      <c r="B10" t="s">
        <v>57</v>
      </c>
      <c r="C10" t="s">
        <v>58</v>
      </c>
      <c r="D10">
        <v>8</v>
      </c>
      <c r="E10">
        <v>27</v>
      </c>
      <c r="F10">
        <v>0</v>
      </c>
      <c r="G10">
        <f t="shared" si="0"/>
        <v>2</v>
      </c>
      <c r="H10" s="2">
        <v>46119</v>
      </c>
      <c r="I10" s="2">
        <v>46128</v>
      </c>
      <c r="J10" t="s">
        <v>59</v>
      </c>
      <c r="K10" s="2">
        <v>46126</v>
      </c>
      <c r="L10" t="s">
        <v>27</v>
      </c>
      <c r="M10">
        <v>40.71</v>
      </c>
      <c r="N10">
        <v>40.71</v>
      </c>
      <c r="Q10" s="1">
        <f t="shared" ref="Q10:Q12" si="2">Q9-N10</f>
        <v>165.08500000000001</v>
      </c>
      <c r="R10">
        <v>0</v>
      </c>
      <c r="S10" s="3">
        <v>1</v>
      </c>
      <c r="T10" t="s">
        <v>60</v>
      </c>
      <c r="U10" t="s">
        <v>29</v>
      </c>
    </row>
    <row r="11" spans="1:45" x14ac:dyDescent="0.3">
      <c r="A11" t="s">
        <v>23</v>
      </c>
      <c r="B11" t="s">
        <v>61</v>
      </c>
      <c r="C11" t="s">
        <v>62</v>
      </c>
      <c r="D11">
        <v>8</v>
      </c>
      <c r="E11">
        <v>53</v>
      </c>
      <c r="F11">
        <v>3</v>
      </c>
      <c r="G11">
        <f t="shared" si="0"/>
        <v>-71</v>
      </c>
      <c r="H11" s="2">
        <v>46082</v>
      </c>
      <c r="I11" s="2">
        <v>46090</v>
      </c>
      <c r="J11" t="s">
        <v>63</v>
      </c>
      <c r="K11" s="2">
        <v>46161</v>
      </c>
      <c r="L11" s="2"/>
      <c r="M11">
        <v>296.45999999999998</v>
      </c>
      <c r="N11">
        <v>192.7</v>
      </c>
      <c r="Q11" s="1">
        <f t="shared" si="2"/>
        <v>-27.614999999999981</v>
      </c>
      <c r="R11">
        <v>103.76</v>
      </c>
      <c r="S11" s="3">
        <v>0.65</v>
      </c>
      <c r="T11" t="s">
        <v>64</v>
      </c>
      <c r="U11" t="s">
        <v>29</v>
      </c>
    </row>
    <row r="12" spans="1:45" x14ac:dyDescent="0.3">
      <c r="A12" t="s">
        <v>23</v>
      </c>
      <c r="B12" t="s">
        <v>65</v>
      </c>
      <c r="C12" t="s">
        <v>66</v>
      </c>
      <c r="D12">
        <v>5</v>
      </c>
      <c r="E12">
        <v>53</v>
      </c>
      <c r="F12">
        <v>2</v>
      </c>
      <c r="G12">
        <f t="shared" si="0"/>
        <v>-42</v>
      </c>
      <c r="H12" s="2">
        <v>46113</v>
      </c>
      <c r="I12" s="2">
        <v>46118</v>
      </c>
      <c r="J12" t="s">
        <v>63</v>
      </c>
      <c r="K12" s="2">
        <v>46160</v>
      </c>
      <c r="L12" s="2"/>
      <c r="M12">
        <v>3.14</v>
      </c>
      <c r="N12">
        <v>2.04</v>
      </c>
      <c r="Q12" s="1">
        <f t="shared" si="2"/>
        <v>-29.65499999999998</v>
      </c>
      <c r="R12">
        <v>1.1000000000000001</v>
      </c>
      <c r="S12" s="3">
        <v>0.65</v>
      </c>
      <c r="T12" t="s">
        <v>67</v>
      </c>
      <c r="U12" t="s">
        <v>29</v>
      </c>
    </row>
    <row r="13" spans="1:45" x14ac:dyDescent="0.3">
      <c r="A13" t="s">
        <v>23</v>
      </c>
      <c r="B13" t="s">
        <v>68</v>
      </c>
      <c r="C13" t="s">
        <v>69</v>
      </c>
      <c r="D13">
        <v>12</v>
      </c>
      <c r="E13">
        <v>12</v>
      </c>
      <c r="F13">
        <v>0</v>
      </c>
      <c r="G13">
        <f t="shared" si="0"/>
        <v>0</v>
      </c>
      <c r="H13" s="2">
        <v>46133</v>
      </c>
      <c r="I13" s="2">
        <v>46146</v>
      </c>
      <c r="J13" t="s">
        <v>70</v>
      </c>
      <c r="K13" s="2">
        <v>46146</v>
      </c>
      <c r="L13" t="s">
        <v>27</v>
      </c>
      <c r="M13">
        <v>21.08</v>
      </c>
      <c r="N13">
        <v>21.08</v>
      </c>
      <c r="O13" s="2">
        <v>46146</v>
      </c>
      <c r="P13">
        <v>355.84</v>
      </c>
      <c r="Q13" s="1">
        <f t="shared" ref="Q13" si="3">P13-N13</f>
        <v>334.76</v>
      </c>
      <c r="R13">
        <v>0</v>
      </c>
      <c r="S13" s="3">
        <v>1</v>
      </c>
      <c r="T13" t="s">
        <v>71</v>
      </c>
      <c r="U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Av_vs_supplied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2026-06-02T15:56:11Z</dcterms:created>
  <dcterms:modified xsi:type="dcterms:W3CDTF">2026-06-02T15:56:35Z</dcterms:modified>
</cp:coreProperties>
</file>